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E7011563-A5B7-4CF3-AA7A-EBD9B9457D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elected Zip Co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7" i="1"/>
  <c r="B37" i="1"/>
  <c r="B27" i="1"/>
  <c r="B26" i="1"/>
  <c r="B25" i="1"/>
  <c r="G8" i="1"/>
  <c r="H8" i="1"/>
  <c r="E8" i="1"/>
  <c r="D8" i="1"/>
  <c r="C6" i="1"/>
  <c r="D6" i="1"/>
  <c r="B31" i="1"/>
  <c r="B34" i="1" s="1"/>
  <c r="B28" i="1"/>
  <c r="G5" i="1" s="1"/>
  <c r="C28" i="1"/>
  <c r="H5" i="1" s="1"/>
  <c r="E6" i="1" l="1"/>
  <c r="H9" i="1"/>
  <c r="H7" i="1"/>
  <c r="G10" i="1"/>
  <c r="G9" i="1"/>
  <c r="G7" i="1"/>
  <c r="D7" i="1" s="1"/>
  <c r="H11" i="1"/>
  <c r="E11" i="1" s="1"/>
  <c r="C34" i="1"/>
  <c r="H10" i="1" s="1"/>
  <c r="E7" i="1"/>
  <c r="E9" i="1"/>
  <c r="G11" i="1"/>
  <c r="D11" i="1" s="1"/>
  <c r="D9" i="1"/>
  <c r="E10" i="1" l="1"/>
  <c r="H12" i="1"/>
  <c r="E12" i="1" s="1"/>
  <c r="G12" i="1"/>
  <c r="D12" i="1" s="1"/>
  <c r="D10" i="1"/>
  <c r="B1" i="1" s="1"/>
  <c r="C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peggy anselme-vatin</author>
  </authors>
  <commentList>
    <comment ref="F7" authorId="0" shapeId="0" xr:uid="{A933A4DA-E3E6-4F13-AA51-E00760716A8F}">
      <text>
        <r>
          <rPr>
            <sz val="11"/>
            <color theme="1"/>
            <rFont val="Aptos Narrow"/>
            <family val="2"/>
            <scheme val="minor"/>
          </rPr>
          <t>peggy anselme-vatin:
We want a Cap rate&gt;8%, does it fit our requirement?</t>
        </r>
      </text>
    </comment>
    <comment ref="F8" authorId="0" shapeId="0" xr:uid="{97A00FF9-F9CA-4472-B71F-7F5A4BEE3073}">
      <text>
        <r>
          <rPr>
            <sz val="11"/>
            <color theme="1"/>
            <rFont val="Aptos Narrow"/>
            <family val="2"/>
            <scheme val="minor"/>
          </rPr>
          <t>peggy anselme-vatin:
Should be &lt;20% purchase price</t>
        </r>
      </text>
    </comment>
  </commentList>
</comments>
</file>

<file path=xl/sharedStrings.xml><?xml version="1.0" encoding="utf-8"?>
<sst xmlns="http://schemas.openxmlformats.org/spreadsheetml/2006/main" count="40" uniqueCount="38">
  <si>
    <t>OFFER ?</t>
  </si>
  <si>
    <t>https://www.zillow.com/homedetails/953-Oak-St-Springfield-OH-45505/33318465_zpid/</t>
  </si>
  <si>
    <t>Full Purchase price</t>
  </si>
  <si>
    <t>Simulation</t>
  </si>
  <si>
    <t>Dcision full price</t>
  </si>
  <si>
    <t>Decision Simulation</t>
  </si>
  <si>
    <t>Location &amp; Neighborhood Criteria</t>
  </si>
  <si>
    <t>NET OPERATION INCOME (NOI)</t>
  </si>
  <si>
    <t>Zip Code</t>
  </si>
  <si>
    <t>CAP RATE</t>
  </si>
  <si>
    <t>Financial Criteria</t>
  </si>
  <si>
    <r>
      <rPr>
        <b/>
        <sz val="11"/>
        <color rgb="FF000000"/>
        <rFont val="Aptos Narrow"/>
        <scheme val="minor"/>
      </rPr>
      <t>Rehab cost</t>
    </r>
    <r>
      <rPr>
        <sz val="11"/>
        <color rgb="FF000000"/>
        <rFont val="Aptos Narrow"/>
        <scheme val="minor"/>
      </rPr>
      <t xml:space="preserve"> </t>
    </r>
  </si>
  <si>
    <t>Purchase Price</t>
  </si>
  <si>
    <t>Cash on Cash</t>
  </si>
  <si>
    <t>Cash flow</t>
  </si>
  <si>
    <t>Monthly Income</t>
  </si>
  <si>
    <t>Cash required</t>
  </si>
  <si>
    <t>Rent</t>
  </si>
  <si>
    <t>Mortgage amount limit</t>
  </si>
  <si>
    <t>Monthly Expenses</t>
  </si>
  <si>
    <t>Taxes</t>
  </si>
  <si>
    <t>Insurance</t>
  </si>
  <si>
    <t>Utilities - Electricity</t>
  </si>
  <si>
    <t>Utiiities - Water</t>
  </si>
  <si>
    <t>Utilities - Gas/Propane/Oil</t>
  </si>
  <si>
    <t>Utilities - Telephone/Internet/Cable</t>
  </si>
  <si>
    <t>Amenities - Yard/Snow</t>
  </si>
  <si>
    <t>Miscellaneous</t>
  </si>
  <si>
    <t>Maintenance</t>
  </si>
  <si>
    <t>Property Management</t>
  </si>
  <si>
    <t>Vacancy</t>
  </si>
  <si>
    <t>Total Expenses</t>
  </si>
  <si>
    <t>Mortgage amount</t>
  </si>
  <si>
    <t>Number of month</t>
  </si>
  <si>
    <t>Rate</t>
  </si>
  <si>
    <t>Monthly payment</t>
  </si>
  <si>
    <t>Deposit 20%</t>
  </si>
  <si>
    <t>Renovation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</si>
</sst>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[$$-409]* #,##0.00_);_([$$-409]* \(#,##0.00\);_([$$-409]* &quot;-&quot;??_);_(@_)"/>
  </numFmts>
  <fonts count="8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7FAD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164" fontId="2" fillId="0" borderId="1" xfId="0" applyNumberFormat="1" applyFont="1" applyBorder="1"/>
    <xf numFmtId="164" fontId="2" fillId="0" borderId="2" xfId="0" applyNumberFormat="1" applyFont="1" applyBorder="1"/>
    <xf numFmtId="0" fontId="0" fillId="2" borderId="0" xfId="0" applyFill="1"/>
    <xf numFmtId="8" fontId="0" fillId="0" borderId="0" xfId="0" applyNumberFormat="1"/>
    <xf numFmtId="164" fontId="0" fillId="0" borderId="0" xfId="0" applyNumberForma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/>
    <xf numFmtId="0" fontId="0" fillId="3" borderId="0" xfId="0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0" borderId="0" xfId="0" applyFont="1"/>
    <xf numFmtId="0" fontId="5" fillId="3" borderId="0" xfId="0" applyFont="1" applyFill="1" applyAlignment="1">
      <alignment horizontal="center" vertical="center" wrapText="1"/>
    </xf>
    <xf numFmtId="0" fontId="2" fillId="0" borderId="0" xfId="0" applyFont="1"/>
    <xf numFmtId="10" fontId="0" fillId="2" borderId="0" xfId="0" applyNumberFormat="1" applyFill="1"/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 vertical="center" indent="1"/>
    </xf>
    <xf numFmtId="0" fontId="6" fillId="0" borderId="0" xfId="0" applyFont="1"/>
    <xf numFmtId="0" fontId="0" fillId="0" borderId="0" xfId="0" applyAlignment="1">
      <alignment horizontal="center"/>
    </xf>
    <xf numFmtId="10" fontId="2" fillId="0" borderId="3" xfId="0" applyNumberFormat="1" applyFont="1" applyBorder="1" applyAlignment="1">
      <alignment horizontal="center" wrapText="1"/>
    </xf>
    <xf numFmtId="9" fontId="2" fillId="0" borderId="4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164" fontId="2" fillId="0" borderId="4" xfId="0" applyNumberFormat="1" applyFont="1" applyBorder="1"/>
    <xf numFmtId="164" fontId="2" fillId="0" borderId="5" xfId="0" applyNumberFormat="1" applyFont="1" applyBorder="1"/>
    <xf numFmtId="0" fontId="7" fillId="2" borderId="0" xfId="1" applyFill="1"/>
  </cellXfs>
  <cellStyles count="2">
    <cellStyle name="Lien hypertexte" xfId="1" builtinId="8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7FA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zillow.com/homedetails/953-Oak-St-Springfield-OH-45505/33318465_zp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2" workbookViewId="0">
      <selection activeCell="J1" sqref="H1:J1048576"/>
    </sheetView>
  </sheetViews>
  <sheetFormatPr defaultRowHeight="15" outlineLevelRow="1"/>
  <cols>
    <col min="1" max="1" width="29.28515625" bestFit="1" customWidth="1"/>
    <col min="2" max="2" width="19.7109375" bestFit="1" customWidth="1"/>
    <col min="3" max="3" width="22.42578125" bestFit="1" customWidth="1"/>
    <col min="4" max="4" width="17" bestFit="1" customWidth="1"/>
    <col min="5" max="5" width="18.7109375" bestFit="1" customWidth="1"/>
    <col min="6" max="6" width="29.28515625" bestFit="1" customWidth="1"/>
    <col min="7" max="7" width="29.85546875" bestFit="1" customWidth="1"/>
    <col min="8" max="8" width="16.28515625" customWidth="1"/>
    <col min="9" max="9" width="7.42578125" customWidth="1"/>
  </cols>
  <sheetData>
    <row r="1" spans="1:9" ht="26.25">
      <c r="A1" s="14" t="s">
        <v>0</v>
      </c>
      <c r="B1" s="15" t="str">
        <f>_xlfn.IFNA(VLOOKUP("NO",D:D,1,FALSE), "YES")</f>
        <v>YES</v>
      </c>
      <c r="C1" s="15" t="str">
        <f>_xlfn.IFNA(VLOOKUP("NO",E:E,1,FALSE), "YES")</f>
        <v>YES</v>
      </c>
      <c r="F1" s="27" t="s">
        <v>1</v>
      </c>
    </row>
    <row r="4" spans="1:9">
      <c r="B4" s="19" t="s">
        <v>2</v>
      </c>
      <c r="C4" s="19" t="s">
        <v>3</v>
      </c>
      <c r="D4" s="20" t="s">
        <v>4</v>
      </c>
      <c r="E4" s="20" t="s">
        <v>5</v>
      </c>
      <c r="G4" s="19" t="s">
        <v>2</v>
      </c>
      <c r="H4" s="19" t="s">
        <v>3</v>
      </c>
    </row>
    <row r="5" spans="1:9">
      <c r="A5" s="1" t="s">
        <v>6</v>
      </c>
      <c r="F5" s="16" t="s">
        <v>7</v>
      </c>
      <c r="G5" s="6">
        <f>B12-B28</f>
        <v>1160</v>
      </c>
      <c r="H5" s="6">
        <f>C12-C28</f>
        <v>1780</v>
      </c>
    </row>
    <row r="6" spans="1:9">
      <c r="A6" t="s">
        <v>8</v>
      </c>
      <c r="B6" s="18">
        <v>45505</v>
      </c>
      <c r="C6" s="21">
        <f>+B6</f>
        <v>45505</v>
      </c>
      <c r="D6" s="12" t="str">
        <f>IF(_xlfn.IFNA( VLOOKUP(B6,'Selected Zip Codes'!C:C,1,FALSE),"No") = "No", "NO", "YES")</f>
        <v>YES</v>
      </c>
      <c r="E6" s="12" t="str">
        <f>+D6</f>
        <v>YES</v>
      </c>
    </row>
    <row r="7" spans="1:9">
      <c r="D7" s="12" t="str">
        <f>IF(G7&gt;=$I$7,"YES","NO")</f>
        <v>YES</v>
      </c>
      <c r="E7" s="12" t="str">
        <f>IF(H7&gt;=$I$7,"YES","NO")</f>
        <v>YES</v>
      </c>
      <c r="F7" s="13" t="s">
        <v>9</v>
      </c>
      <c r="G7" s="22">
        <f>IF(G5=0,"",(+G5*12/B9))</f>
        <v>9.4372881355932206E-2</v>
      </c>
      <c r="H7" s="22">
        <f>IF(H5=0,"",(+H5*12/C9))</f>
        <v>0.15822222222222221</v>
      </c>
      <c r="I7" s="2">
        <v>0.08</v>
      </c>
    </row>
    <row r="8" spans="1:9">
      <c r="A8" s="1" t="s">
        <v>10</v>
      </c>
      <c r="D8" s="12" t="str">
        <f>IF((B9*$I$8)&gt;=B38,"YES","NO")</f>
        <v>YES</v>
      </c>
      <c r="E8" s="12" t="str">
        <f>IF((C9*$I$8)&gt;=C38,"YES","NO")</f>
        <v>YES</v>
      </c>
      <c r="F8" s="10" t="s">
        <v>11</v>
      </c>
      <c r="G8" s="23">
        <f>IF(B9=0,"",(+B38/B9))</f>
        <v>0</v>
      </c>
      <c r="H8" s="23">
        <f>IF(C9=0,"",(+C38/C9))</f>
        <v>0</v>
      </c>
      <c r="I8" s="2">
        <v>0.2</v>
      </c>
    </row>
    <row r="9" spans="1:9">
      <c r="A9" t="s">
        <v>12</v>
      </c>
      <c r="B9" s="3">
        <v>147500</v>
      </c>
      <c r="C9" s="3">
        <v>135000</v>
      </c>
      <c r="D9" s="12" t="str">
        <f>IF(G9&gt;=$I$9,"YES","NO")</f>
        <v>YES</v>
      </c>
      <c r="E9" s="12" t="str">
        <f>IF(H9&gt;=$I$9,"YES","NO")</f>
        <v>YES</v>
      </c>
      <c r="F9" s="11" t="s">
        <v>13</v>
      </c>
      <c r="G9" s="23">
        <f>IF(G5=0,"",+G5*12/(B37+B38))</f>
        <v>0.37749152542372882</v>
      </c>
      <c r="H9" s="23">
        <f>IF(H5=0,"",+H5*12/(C37+C38))</f>
        <v>0.63288888888888883</v>
      </c>
      <c r="I9" s="2">
        <v>0.12</v>
      </c>
    </row>
    <row r="10" spans="1:9">
      <c r="D10" s="12" t="str">
        <f>IF(G10&gt;=$I$10,"YES","NO")</f>
        <v>YES</v>
      </c>
      <c r="E10" s="12" t="str">
        <f>IF(H10&gt;=$I$10,"YES","NO")</f>
        <v>YES</v>
      </c>
      <c r="F10" s="11" t="s">
        <v>14</v>
      </c>
      <c r="G10" s="24">
        <f>IF(G5=0,"",+G5+B34)</f>
        <v>424.00911470802862</v>
      </c>
      <c r="H10" s="24">
        <f>IF(H5=0,"",+H5+C34)</f>
        <v>947.04113167692037</v>
      </c>
      <c r="I10">
        <v>400</v>
      </c>
    </row>
    <row r="11" spans="1:9">
      <c r="A11" t="s">
        <v>15</v>
      </c>
      <c r="D11" s="12" t="str">
        <f>IF(G11&gt;=$I$11,"NO","YES")</f>
        <v>YES</v>
      </c>
      <c r="E11" s="12" t="str">
        <f>IF(H11&gt;=$I$11,"NO","YES")</f>
        <v>YES</v>
      </c>
      <c r="F11" s="16" t="s">
        <v>16</v>
      </c>
      <c r="G11" s="25">
        <f>+B37+B38</f>
        <v>36875</v>
      </c>
      <c r="H11" s="25">
        <f>+C37+C38</f>
        <v>33750</v>
      </c>
      <c r="I11">
        <v>40000</v>
      </c>
    </row>
    <row r="12" spans="1:9">
      <c r="A12" t="s">
        <v>17</v>
      </c>
      <c r="B12" s="3">
        <v>2000</v>
      </c>
      <c r="C12" s="3">
        <v>2200</v>
      </c>
      <c r="D12" s="12" t="str">
        <f>IF(G12&gt;=$I$12,"YES","NO")</f>
        <v>YES</v>
      </c>
      <c r="E12" s="12" t="str">
        <f>IF(H12&gt;=$I$12,"YES","NO")</f>
        <v>YES</v>
      </c>
      <c r="F12" s="16" t="s">
        <v>18</v>
      </c>
      <c r="G12" s="26">
        <f>+B31</f>
        <v>110625</v>
      </c>
      <c r="H12" s="26">
        <f>+C31</f>
        <v>101250</v>
      </c>
      <c r="I12">
        <v>100000</v>
      </c>
    </row>
    <row r="14" spans="1:9" outlineLevel="1"/>
    <row r="15" spans="1:9" outlineLevel="1"/>
    <row r="16" spans="1:9" outlineLevel="1">
      <c r="A16" t="s">
        <v>19</v>
      </c>
    </row>
    <row r="17" spans="1:4" outlineLevel="1">
      <c r="A17" t="s">
        <v>20</v>
      </c>
      <c r="B17" s="3">
        <v>140</v>
      </c>
      <c r="C17" s="3">
        <v>100</v>
      </c>
    </row>
    <row r="18" spans="1:4" outlineLevel="1">
      <c r="A18" t="s">
        <v>21</v>
      </c>
      <c r="B18" s="3">
        <v>140</v>
      </c>
      <c r="C18" s="3">
        <v>150</v>
      </c>
    </row>
    <row r="19" spans="1:4" outlineLevel="1">
      <c r="A19" t="s">
        <v>22</v>
      </c>
      <c r="B19" s="3">
        <v>0</v>
      </c>
      <c r="C19" s="3">
        <v>0</v>
      </c>
    </row>
    <row r="20" spans="1:4" outlineLevel="1">
      <c r="A20" t="s">
        <v>23</v>
      </c>
      <c r="B20" s="3">
        <v>0</v>
      </c>
      <c r="C20" s="3">
        <v>0</v>
      </c>
    </row>
    <row r="21" spans="1:4" outlineLevel="1">
      <c r="A21" t="s">
        <v>24</v>
      </c>
      <c r="B21" s="3">
        <v>0</v>
      </c>
      <c r="C21" s="3">
        <v>0</v>
      </c>
    </row>
    <row r="22" spans="1:4" outlineLevel="1">
      <c r="A22" t="s">
        <v>25</v>
      </c>
      <c r="B22" s="3">
        <v>0</v>
      </c>
      <c r="C22" s="3">
        <v>0</v>
      </c>
    </row>
    <row r="23" spans="1:4" outlineLevel="1">
      <c r="A23" t="s">
        <v>26</v>
      </c>
      <c r="B23" s="3">
        <v>0</v>
      </c>
      <c r="C23" s="3">
        <v>0</v>
      </c>
    </row>
    <row r="24" spans="1:4" outlineLevel="1">
      <c r="A24" t="s">
        <v>27</v>
      </c>
      <c r="B24" s="3">
        <v>0</v>
      </c>
      <c r="C24" s="3">
        <v>0</v>
      </c>
    </row>
    <row r="25" spans="1:4" outlineLevel="1">
      <c r="A25" t="s">
        <v>28</v>
      </c>
      <c r="B25" s="4">
        <f>+B$12*$D25</f>
        <v>200</v>
      </c>
      <c r="C25" s="4">
        <v>0</v>
      </c>
      <c r="D25" s="2">
        <v>0.1</v>
      </c>
    </row>
    <row r="26" spans="1:4" outlineLevel="1">
      <c r="A26" t="s">
        <v>29</v>
      </c>
      <c r="B26" s="4">
        <f t="shared" ref="B26:C27" si="0">+B$12*$D26</f>
        <v>200</v>
      </c>
      <c r="C26" s="4">
        <v>170</v>
      </c>
      <c r="D26" s="2">
        <v>0.1</v>
      </c>
    </row>
    <row r="27" spans="1:4" outlineLevel="1">
      <c r="A27" t="s">
        <v>30</v>
      </c>
      <c r="B27" s="4">
        <f t="shared" si="0"/>
        <v>160</v>
      </c>
      <c r="C27" s="4">
        <v>0</v>
      </c>
      <c r="D27" s="2">
        <v>0.08</v>
      </c>
    </row>
    <row r="28" spans="1:4" outlineLevel="1">
      <c r="A28" t="s">
        <v>31</v>
      </c>
      <c r="B28" s="5">
        <f>SUM(B17:B27)</f>
        <v>840</v>
      </c>
      <c r="C28" s="5">
        <f>SUM(C17:C27)</f>
        <v>420</v>
      </c>
    </row>
    <row r="29" spans="1:4" outlineLevel="1"/>
    <row r="30" spans="1:4" outlineLevel="1">
      <c r="D30" s="9"/>
    </row>
    <row r="31" spans="1:4" outlineLevel="1">
      <c r="A31" t="s">
        <v>32</v>
      </c>
      <c r="B31" s="4">
        <f>+B9-B37</f>
        <v>110625</v>
      </c>
      <c r="C31" s="4">
        <f>C9-C37</f>
        <v>101250</v>
      </c>
    </row>
    <row r="32" spans="1:4" outlineLevel="1">
      <c r="A32" t="s">
        <v>33</v>
      </c>
      <c r="B32" s="7">
        <v>360</v>
      </c>
      <c r="C32" s="7">
        <v>360</v>
      </c>
    </row>
    <row r="33" spans="1:4" outlineLevel="1">
      <c r="A33" t="s">
        <v>34</v>
      </c>
      <c r="B33" s="17">
        <v>7.0000000000000007E-2</v>
      </c>
      <c r="C33" s="17">
        <v>9.2499999999999999E-2</v>
      </c>
    </row>
    <row r="34" spans="1:4" outlineLevel="1">
      <c r="A34" t="s">
        <v>35</v>
      </c>
      <c r="B34" s="8">
        <f>IF(B31=0,"",PMT(B33/12,B32,B31))</f>
        <v>-735.99088529197138</v>
      </c>
      <c r="C34" s="8">
        <f>IF(C31=0,"",PMT(C33/12,C32,C31))</f>
        <v>-832.95886832307963</v>
      </c>
    </row>
    <row r="35" spans="1:4" outlineLevel="1"/>
    <row r="36" spans="1:4" outlineLevel="1"/>
    <row r="37" spans="1:4" outlineLevel="1">
      <c r="A37" t="s">
        <v>36</v>
      </c>
      <c r="B37" s="4">
        <f>+B9*D37</f>
        <v>36875</v>
      </c>
      <c r="C37" s="4">
        <f>+C9*D37</f>
        <v>33750</v>
      </c>
      <c r="D37" s="2">
        <v>0.25</v>
      </c>
    </row>
    <row r="38" spans="1:4" outlineLevel="1">
      <c r="A38" t="s">
        <v>37</v>
      </c>
      <c r="B38" s="3">
        <v>0</v>
      </c>
      <c r="C38" s="3">
        <v>0</v>
      </c>
    </row>
    <row r="39" spans="1:4" outlineLevel="1"/>
  </sheetData>
  <conditionalFormatting sqref="D6:E6">
    <cfRule type="cellIs" dxfId="9" priority="16" operator="equal">
      <formula>"NO"</formula>
    </cfRule>
  </conditionalFormatting>
  <conditionalFormatting sqref="D6:E6">
    <cfRule type="cellIs" dxfId="8" priority="15" operator="equal">
      <formula>"YES"</formula>
    </cfRule>
  </conditionalFormatting>
  <conditionalFormatting sqref="D7:E10">
    <cfRule type="cellIs" dxfId="7" priority="14" operator="equal">
      <formula>"NO"</formula>
    </cfRule>
  </conditionalFormatting>
  <conditionalFormatting sqref="D7:E10">
    <cfRule type="cellIs" dxfId="6" priority="13" operator="equal">
      <formula>"YES"</formula>
    </cfRule>
  </conditionalFormatting>
  <conditionalFormatting sqref="B1:C1">
    <cfRule type="cellIs" dxfId="5" priority="12" operator="equal">
      <formula>"NO"</formula>
    </cfRule>
  </conditionalFormatting>
  <conditionalFormatting sqref="B1:C1">
    <cfRule type="cellIs" dxfId="4" priority="11" operator="equal">
      <formula>"YES"</formula>
    </cfRule>
  </conditionalFormatting>
  <conditionalFormatting sqref="D11:D12">
    <cfRule type="cellIs" dxfId="3" priority="10" operator="equal">
      <formula>"NO"</formula>
    </cfRule>
  </conditionalFormatting>
  <conditionalFormatting sqref="D11:D12">
    <cfRule type="cellIs" dxfId="2" priority="9" operator="equal">
      <formula>"YES"</formula>
    </cfRule>
  </conditionalFormatting>
  <conditionalFormatting sqref="E11:E12">
    <cfRule type="cellIs" dxfId="1" priority="2" operator="equal">
      <formula>"NO"</formula>
    </cfRule>
  </conditionalFormatting>
  <conditionalFormatting sqref="E11:E12">
    <cfRule type="cellIs" dxfId="0" priority="1" operator="equal">
      <formula>"YES"</formula>
    </cfRule>
  </conditionalFormatting>
  <hyperlinks>
    <hyperlink ref="F1" r:id="rId1" xr:uid="{F44337DB-F94F-4127-AD66-75B6CDF7E424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A9BB-23CF-430C-A49F-EAC019A3D68D}">
  <dimension ref="C3:C7"/>
  <sheetViews>
    <sheetView workbookViewId="0">
      <selection activeCell="C7" sqref="C7"/>
    </sheetView>
  </sheetViews>
  <sheetFormatPr defaultRowHeight="15"/>
  <sheetData>
    <row r="3" spans="3:3">
      <c r="C3">
        <v>44111</v>
      </c>
    </row>
    <row r="4" spans="3:3">
      <c r="C4">
        <v>44112</v>
      </c>
    </row>
    <row r="5" spans="3:3">
      <c r="C5">
        <v>44113</v>
      </c>
    </row>
    <row r="6" spans="3:3">
      <c r="C6">
        <v>44311</v>
      </c>
    </row>
    <row r="7" spans="3:3">
      <c r="C7">
        <v>45505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3AB4F345BB5042B51F62E0E6B8C930" ma:contentTypeVersion="7" ma:contentTypeDescription="Create a new document." ma:contentTypeScope="" ma:versionID="c2ae868c6c59e62b8b6a6477878ffed3">
  <xsd:schema xmlns:xsd="http://www.w3.org/2001/XMLSchema" xmlns:xs="http://www.w3.org/2001/XMLSchema" xmlns:p="http://schemas.microsoft.com/office/2006/metadata/properties" xmlns:ns2="2ab0a3ce-f155-46a8-a571-bd067717fb4c" targetNamespace="http://schemas.microsoft.com/office/2006/metadata/properties" ma:root="true" ma:fieldsID="c8cadf71f7c1f1a65ee1d56d7b5ea1a0" ns2:_="">
    <xsd:import namespace="2ab0a3ce-f155-46a8-a571-bd067717fb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0a3ce-f155-46a8-a571-bd067717fb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1933AE-ED36-4509-9D4A-E9A4A1882019}"/>
</file>

<file path=customXml/itemProps2.xml><?xml version="1.0" encoding="utf-8"?>
<ds:datastoreItem xmlns:ds="http://schemas.openxmlformats.org/officeDocument/2006/customXml" ds:itemID="{7B4252E8-808D-493D-91EE-A23DF722C9E7}"/>
</file>

<file path=customXml/itemProps3.xml><?xml version="1.0" encoding="utf-8"?>
<ds:datastoreItem xmlns:ds="http://schemas.openxmlformats.org/officeDocument/2006/customXml" ds:itemID="{190F7FAF-2D65-405D-AEC0-F4DFC12B9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2025-07-14T21:48:10Z</dcterms:created>
  <dcterms:modified xsi:type="dcterms:W3CDTF">2026-02-22T21:27:57Z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0x010100343AB4F345BB5042B51F62E0E6B8C930</vt:lpwstr>
  </property>
</Properties>
</file>